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<sst xmlns="http://schemas.openxmlformats.org/spreadsheetml/2006/main" count="55" uniqueCount="53">
  <si>
    <t>INPUTS</t>
  </si>
  <si>
    <t>Annual CTC</t>
  </si>
  <si>
    <t>Enter annual CTC</t>
  </si>
  <si>
    <t>Basic % of CTC (initial)</t>
  </si>
  <si>
    <t>Used as starting point; calculator adjusts for employer contributions</t>
  </si>
  <si>
    <t>HRA % of Basic</t>
  </si>
  <si>
    <t>Common payroll structure; tax exemption differs by tax rules</t>
  </si>
  <si>
    <t>Site / Project Allowance</t>
  </si>
  <si>
    <t>Annual amount</t>
  </si>
  <si>
    <t>Other Benefits</t>
  </si>
  <si>
    <t>PF Applicable?</t>
  </si>
  <si>
    <t>Yes</t>
  </si>
  <si>
    <t>Yes/No</t>
  </si>
  <si>
    <t>PF Rate</t>
  </si>
  <si>
    <t>Employer statutory contribution rate</t>
  </si>
  <si>
    <t>PF Wage Ceiling</t>
  </si>
  <si>
    <t>Monthly statutory ceiling; change if organisation contributes on higher wages</t>
  </si>
  <si>
    <t>PF on Higher Wages?</t>
  </si>
  <si>
    <t>No</t>
  </si>
  <si>
    <t>Yes = PF on full PF wage; No = statutory ceiling</t>
  </si>
  <si>
    <t>Gratuity Rate</t>
  </si>
  <si>
    <t>15/26/12 = 4.8077% of eligible monthly wage annually</t>
  </si>
  <si>
    <t>CALCULATED SALARY STRUCTURE</t>
  </si>
  <si>
    <t>Component</t>
  </si>
  <si>
    <t>Annual</t>
  </si>
  <si>
    <t>Monthly</t>
  </si>
  <si>
    <t>% of CTC</t>
  </si>
  <si>
    <t>Formula / Basis</t>
  </si>
  <si>
    <t>Basic Salary</t>
  </si>
  <si>
    <t>Basic as % of CTC</t>
  </si>
  <si>
    <t>House Rent Allowance</t>
  </si>
  <si>
    <t>Special / Flexi Allowance</t>
  </si>
  <si>
    <t>Balancing allowance</t>
  </si>
  <si>
    <t>Employee PF Contribution</t>
  </si>
  <si>
    <t>Employee PF</t>
  </si>
  <si>
    <t>Employer PF Contribution</t>
  </si>
  <si>
    <t>Employer PF</t>
  </si>
  <si>
    <t>Gratuity Provision</t>
  </si>
  <si>
    <t>15/26/12 of eligible wage</t>
  </si>
  <si>
    <t>Total Annual CTC</t>
  </si>
  <si>
    <t>Must equal Annual CTC</t>
  </si>
  <si>
    <t>Site / Project Bonus</t>
  </si>
  <si>
    <t>500000 or The Amount calculated on the basis of Project completion</t>
  </si>
  <si>
    <t>User input</t>
  </si>
  <si>
    <t>COMPLIANCE / CONTROL CHECKS</t>
  </si>
  <si>
    <t>Total CTC Check</t>
  </si>
  <si>
    <t>Should be 0</t>
  </si>
  <si>
    <t>Wage / Allowance Check</t>
  </si>
  <si>
    <t>Review if allowances exceed the applicable 50% threshold under the Code on Wages</t>
  </si>
  <si>
    <t>PF Monthly Wage</t>
  </si>
  <si>
    <t>Compare with PF ceiling / higher-wage option</t>
  </si>
  <si>
    <t>Gratuity Annual Provision</t>
  </si>
  <si>
    <t>Based on 15/26/12 method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</si>
</sst>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/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4" xfId="0" applyAlignment="1" applyBorder="1" applyFont="1" applyNumberFormat="1">
      <alignment horizontal="center" readingOrder="0" shrinkToFit="0" wrapText="0"/>
    </xf>
    <xf borderId="1" fillId="0" fontId="4" numFmtId="0" xfId="0" applyBorder="1" applyFont="1"/>
    <xf borderId="1" fillId="0" fontId="1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1" fillId="0" fontId="2" numFmtId="2" xfId="0" applyAlignment="1" applyBorder="1" applyFont="1" applyNumberFormat="1">
      <alignment horizontal="center" readingOrder="0" shrinkToFit="0" wrapText="0"/>
    </xf>
    <xf borderId="1" fillId="0" fontId="2" numFmtId="10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2.63" defaultRowHeight="15.75"/>
  <cols>
    <col customWidth="1" min="1" max="1" width="26.38"/>
    <col customWidth="1" min="2" max="2" width="11.63"/>
    <col customWidth="1" min="3" max="3" width="63.63"/>
    <col customWidth="1" min="4" max="4" width="7.5"/>
    <col customWidth="1" min="5" max="5" width="20.0"/>
  </cols>
  <sheetData>
    <row r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0</v>
      </c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1</v>
      </c>
      <c r="B4" s="7">
        <v>50000.0</v>
      </c>
      <c r="C4" s="6" t="s">
        <v>2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7">
        <v>50.0</v>
      </c>
      <c r="C5" s="6" t="s">
        <v>4</v>
      </c>
      <c r="D5" s="8"/>
      <c r="E5" s="8"/>
      <c r="F5" s="3"/>
      <c r="G5" s="3">
        <f>50000*12</f>
        <v>600000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5</v>
      </c>
      <c r="B6" s="7">
        <v>40.0</v>
      </c>
      <c r="C6" s="6" t="s">
        <v>6</v>
      </c>
      <c r="D6" s="8"/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7</v>
      </c>
      <c r="B7" s="7">
        <v>0.0</v>
      </c>
      <c r="C7" s="6" t="s">
        <v>8</v>
      </c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9</v>
      </c>
      <c r="B8" s="7">
        <v>0.0</v>
      </c>
      <c r="C8" s="6" t="s">
        <v>8</v>
      </c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10</v>
      </c>
      <c r="B9" s="6" t="s">
        <v>11</v>
      </c>
      <c r="C9" s="6" t="s">
        <v>12</v>
      </c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13</v>
      </c>
      <c r="B10" s="6">
        <v>12.0</v>
      </c>
      <c r="C10" s="6" t="s">
        <v>14</v>
      </c>
      <c r="D10" s="8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15</v>
      </c>
      <c r="B11" s="6">
        <v>15000.0</v>
      </c>
      <c r="C11" s="6" t="s">
        <v>16</v>
      </c>
      <c r="D11" s="8"/>
      <c r="E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17</v>
      </c>
      <c r="B12" s="6" t="s">
        <v>18</v>
      </c>
      <c r="C12" s="6" t="s">
        <v>19</v>
      </c>
      <c r="D12" s="8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20</v>
      </c>
      <c r="B13" s="6">
        <v>4.807692308</v>
      </c>
      <c r="C13" s="6" t="s">
        <v>21</v>
      </c>
      <c r="D13" s="8"/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22</v>
      </c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28</v>
      </c>
      <c r="B18" s="11">
        <f>B4*B5/100</f>
        <v>25000</v>
      </c>
      <c r="C18" s="7">
        <f t="shared" ref="C18:C23" si="1">B18/12</f>
        <v>2083.333333</v>
      </c>
      <c r="D18" s="12">
        <f>B18/B24</f>
        <v>0.5</v>
      </c>
      <c r="E18" s="6" t="s">
        <v>29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30</v>
      </c>
      <c r="B19" s="11">
        <f>B18*B6/100</f>
        <v>10000</v>
      </c>
      <c r="C19" s="7">
        <f t="shared" si="1"/>
        <v>833.3333333</v>
      </c>
      <c r="D19" s="12">
        <f>B19/B24</f>
        <v>0.2</v>
      </c>
      <c r="E19" s="6" t="s">
        <v>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 t="s">
        <v>31</v>
      </c>
      <c r="B20" s="11">
        <f>B24-SUM(B18:B19,B21:B23)</f>
        <v>7798.076923</v>
      </c>
      <c r="C20" s="7">
        <f t="shared" si="1"/>
        <v>649.8397436</v>
      </c>
      <c r="D20" s="12">
        <f>B20/B24</f>
        <v>0.1559615385</v>
      </c>
      <c r="E20" s="6" t="s">
        <v>32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 t="s">
        <v>33</v>
      </c>
      <c r="B21" s="7">
        <f>IF(B9="Yes",IF(B12="Yes",B18*B10/100,MIN(B18,B11*12)*B10/100),0)</f>
        <v>3000</v>
      </c>
      <c r="C21" s="7">
        <f t="shared" si="1"/>
        <v>250</v>
      </c>
      <c r="D21" s="12">
        <f>B21/B24</f>
        <v>0.06</v>
      </c>
      <c r="E21" s="6" t="s">
        <v>34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 t="s">
        <v>35</v>
      </c>
      <c r="B22" s="7">
        <f>IF(B9="Yes",IF(B12="Yes",B18*B10/100,MIN(B18,B11*12)*B10/100),0)</f>
        <v>3000</v>
      </c>
      <c r="C22" s="7">
        <f t="shared" si="1"/>
        <v>250</v>
      </c>
      <c r="D22" s="12">
        <f>B22/B24</f>
        <v>0.06</v>
      </c>
      <c r="E22" s="6" t="s">
        <v>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37</v>
      </c>
      <c r="B23" s="7">
        <f>B18*B13/100</f>
        <v>1201.923077</v>
      </c>
      <c r="C23" s="7">
        <f t="shared" si="1"/>
        <v>100.1602564</v>
      </c>
      <c r="D23" s="12">
        <f>B23/B24</f>
        <v>0.02403846154</v>
      </c>
      <c r="E23" s="6" t="s">
        <v>38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39</v>
      </c>
      <c r="B24" s="7">
        <f>B4</f>
        <v>50000</v>
      </c>
      <c r="C24" s="7">
        <f>Sum(C18:C23)</f>
        <v>4166.666667</v>
      </c>
      <c r="D24" s="12">
        <f>(C24*12)/B24</f>
        <v>1</v>
      </c>
      <c r="E24" s="6" t="s">
        <v>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 t="s">
        <v>41</v>
      </c>
      <c r="B25" s="13" t="s">
        <v>42</v>
      </c>
      <c r="C25" s="8"/>
      <c r="D25" s="12">
        <v>0.0</v>
      </c>
      <c r="E25" s="6" t="s">
        <v>43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44</v>
      </c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45</v>
      </c>
      <c r="B28" s="6">
        <v>0.0</v>
      </c>
      <c r="C28" s="6" t="s">
        <v>46</v>
      </c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47</v>
      </c>
      <c r="B29" s="6">
        <v>0.0</v>
      </c>
      <c r="C29" s="6" t="s">
        <v>48</v>
      </c>
      <c r="D29" s="8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49</v>
      </c>
      <c r="B30" s="6">
        <v>83333.33333</v>
      </c>
      <c r="C30" s="6" t="s">
        <v>50</v>
      </c>
      <c r="D30" s="8"/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51</v>
      </c>
      <c r="B31" s="6">
        <v>48076.92308</v>
      </c>
      <c r="C31" s="6" t="s">
        <v>52</v>
      </c>
      <c r="D31" s="8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29:E29"/>
    <mergeCell ref="C30:E30"/>
    <mergeCell ref="C31:D31"/>
    <mergeCell ref="C5:E5"/>
    <mergeCell ref="C6:E6"/>
    <mergeCell ref="C10:D10"/>
    <mergeCell ref="C11:E11"/>
    <mergeCell ref="C12:E12"/>
    <mergeCell ref="C13:E13"/>
    <mergeCell ref="B25:C25"/>
  </mergeCells>
  <drawing r:id="rId1"/>
</worksheet>
</file>